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285</v>
      </c>
      <c r="G102" s="2" t="n">
        <v>97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285</v>
      </c>
      <c r="G103" s="2" t="n">
        <v>97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285</v>
      </c>
      <c r="G108" s="2" t="n">
        <v>97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285</v>
      </c>
      <c r="G117" s="2" t="n">
        <v>97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285</v>
      </c>
      <c r="G122" s="2" t="n">
        <v>97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366</v>
      </c>
      <c r="H124" s="3">
        <f>IF(F124=0,0,1-G124/F124)</f>
        <v/>
      </c>
      <c r="I124" s="2" t="n">
        <v>74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366</v>
      </c>
      <c r="H125" s="3">
        <f>IF(F125=0,0,1-G125/F125)</f>
        <v/>
      </c>
      <c r="I125" s="2" t="n">
        <v>74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10</v>
      </c>
      <c r="K130" s="2" t="n">
        <v>2</v>
      </c>
      <c r="L130" s="2" t="n">
        <v>8</v>
      </c>
      <c r="M130" s="2" t="n">
        <v>0</v>
      </c>
      <c r="N130" s="2" t="n">
        <v>10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732</v>
      </c>
      <c r="H131" s="3">
        <f>IF(F131=0,0,1-G131/F131)</f>
        <v/>
      </c>
      <c r="I131" s="2" t="n">
        <v>148</v>
      </c>
      <c r="J131" s="2" t="n">
        <v>8</v>
      </c>
      <c r="K131" s="2" t="n">
        <v>2</v>
      </c>
      <c r="L131" s="2" t="n">
        <v>6</v>
      </c>
      <c r="M131" s="2" t="n">
        <v>0</v>
      </c>
      <c r="N131" s="2" t="n">
        <v>8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9</v>
      </c>
      <c r="K132" s="2" t="n">
        <v>2</v>
      </c>
      <c r="L132" s="2" t="n">
        <v>7</v>
      </c>
      <c r="M132" s="2" t="n">
        <v>0</v>
      </c>
      <c r="N132" s="2" t="n">
        <v>9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10</v>
      </c>
      <c r="K133" s="2" t="n">
        <v>3</v>
      </c>
      <c r="L133" s="2" t="n">
        <v>7</v>
      </c>
      <c r="M133" s="2" t="n">
        <v>0</v>
      </c>
      <c r="N133" s="2" t="n">
        <v>10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1427</v>
      </c>
      <c r="G134" s="2" t="n">
        <v>486</v>
      </c>
      <c r="H134" s="3">
        <f>IF(F134=0,0,1-G134/F134)</f>
        <v/>
      </c>
      <c r="I134" s="2" t="n">
        <v>941</v>
      </c>
      <c r="J134" s="2" t="n">
        <v>12</v>
      </c>
      <c r="K134" s="2" t="n">
        <v>3</v>
      </c>
      <c r="L134" s="2" t="n">
        <v>9</v>
      </c>
      <c r="M134" s="2" t="n">
        <v>0</v>
      </c>
      <c r="N134" s="2" t="n">
        <v>12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12</v>
      </c>
      <c r="K135" s="2" t="n">
        <v>2</v>
      </c>
      <c r="L135" s="2" t="n">
        <v>10</v>
      </c>
      <c r="M135" s="2" t="n">
        <v>0</v>
      </c>
      <c r="N135" s="2" t="n">
        <v>12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10</v>
      </c>
      <c r="K136" s="2" t="n">
        <v>1</v>
      </c>
      <c r="L136" s="2" t="n">
        <v>9</v>
      </c>
      <c r="M136" s="2" t="n">
        <v>0</v>
      </c>
      <c r="N136" s="2" t="n">
        <v>10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770</v>
      </c>
      <c r="H139" s="3">
        <f>IF(F139=0,0,1-G139/F139)</f>
        <v/>
      </c>
      <c r="I139" s="2" t="n">
        <v>220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1022</v>
      </c>
      <c r="P139" s="2" t="n">
        <v>1021.8</v>
      </c>
      <c r="Q139" s="2" t="inlineStr">
        <is>
          <t>yes</t>
        </is>
      </c>
      <c r="R139" s="2" t="inlineStr">
        <is>
          <t>column/line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9</v>
      </c>
      <c r="K148" s="2" t="n">
        <v>1</v>
      </c>
      <c r="L148" s="2" t="n">
        <v>8</v>
      </c>
      <c r="M148" s="2" t="n">
        <v>0</v>
      </c>
      <c r="N148" s="2" t="n">
        <v>9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7</v>
      </c>
      <c r="K149" s="2" t="n">
        <v>1</v>
      </c>
      <c r="L149" s="2" t="n">
        <v>6</v>
      </c>
      <c r="M149" s="2" t="n">
        <v>0</v>
      </c>
      <c r="N149" s="2" t="n">
        <v>7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500</v>
      </c>
      <c r="G151" s="2" t="n">
        <v>315</v>
      </c>
      <c r="H151" s="3">
        <f>IF(F151=0,0,1-G151/F151)</f>
        <v/>
      </c>
      <c r="I151" s="2" t="n">
        <v>185</v>
      </c>
      <c r="J151" s="2" t="n">
        <v>9</v>
      </c>
      <c r="K151" s="2" t="n">
        <v>1</v>
      </c>
      <c r="L151" s="2" t="n">
        <v>8</v>
      </c>
      <c r="M151" s="2" t="n">
        <v>0</v>
      </c>
      <c r="N151" s="2" t="n">
        <v>9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7</v>
      </c>
      <c r="K164" s="2" t="n">
        <v>2</v>
      </c>
      <c r="L164" s="2" t="n">
        <v>5</v>
      </c>
      <c r="M164" s="2" t="n">
        <v>0</v>
      </c>
      <c r="N164" s="2" t="n">
        <v>7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inlineStr">
        <is>
          <t>unauthored (not-yet-cast)</t>
        </is>
      </c>
      <c r="AC183" s="5" t="n"/>
      <c r="AD183" s="5" t="n"/>
      <c r="AE183" s="5" t="n"/>
      <c r="AF183" s="5" t="n"/>
      <c r="AG183" s="5" t="inlineStr">
        <is>
          <t>Dossier: reconstruction/dossiers/us-btty-smith.md; THE GUNS CROSS-CREDIT closed both-sided - exactly 3 Parrotts lost, CSA count/type agrees; ED-56 convergent-capture candidate</t>
        </is>
      </c>
      <c r="AH183" s="5" t="inlineStr">
        <is>
          <t>Smith's 4th NY Independent (6x 10-pdr Parrott); Smith unwounded; 2 k named</t>
        </is>
      </c>
      <c r="AI183" s="5" t="inlineStr">
        <is>
          <t>six guns, two elements (4 forward + 2 rear); personnel compilation-tier</t>
        </is>
      </c>
      <c r="AJ183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3" s="5" t="inlineStr">
        <is>
          <t>[D] forward guns attested-static to loss (kept firing rather than signal retreat); captain's shift to the rear section at the fall</t>
        </is>
      </c>
      <c r="AL183" s="5" t="inlineStr">
        <is>
          <t>[C +90] duel from stated 14:30; munition ladder case-&gt;shell-&gt;canister (range-attesting); 140 ROUNDS EXPENDED (expenditure ledger, ED-42); oblique gully fire</t>
        </is>
      </c>
      <c r="AM183" s="5" t="inlineStr">
        <is>
          <t>return 13 adopted (2/10/1) vs report 12 named (ED-52); concentrated in the forward fight</t>
        </is>
      </c>
      <c r="AN183" s="5" t="n"/>
      <c r="AO183" s="5" t="inlineStr">
        <is>
          <t>T4</t>
        </is>
      </c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inlineStr">
        <is>
          <t>authored-ok (the Trostle stand; ED-61 object 1)</t>
        </is>
      </c>
      <c r="AC185" s="5" t="n"/>
      <c r="AD185" s="5" t="n"/>
      <c r="AE185" s="5" t="n"/>
      <c r="AF185" s="5" t="n"/>
      <c r="AG185" s="5" t="inlineStr">
        <is>
          <t>Dossier: reconstruction/dossiers/us-btty-bigelow.md; Bigelow filed no report (verified negative; Milton No. 320 is the record); Crawford July 3 Napoleon = ED-61's named residue</t>
        </is>
      </c>
      <c r="AH185" s="5" t="inlineStr">
        <is>
          <t>9th MA Battery (1st Vol Bde AR/McGilvery); BIGELOW w at the stand -&gt; Milton; first battle</t>
        </is>
      </c>
      <c r="AI185" s="5" t="inlineStr">
        <is>
          <t>PRIMARY 4 officers + 100 men (McGilvery footnote); six Napoleons</t>
        </is>
      </c>
      <c r="AJ185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5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5" s="5" t="inlineStr">
        <is>
          <t>the hold-at-all-hazards order verbatim; canister breaking the 21st MS's center (loss side both-sided since pass 5); July 3 split service near Cemetery Hill</t>
        </is>
      </c>
      <c r="AM185" s="5" t="inlineStr">
        <is>
          <t>Milton itemized per-day 27+1 = return 28 ARITHMETIC EXACT; 45+15 horses date the stand; Bigelow w pin</t>
        </is>
      </c>
      <c r="AN185" s="5" t="n"/>
      <c r="AO185" s="5" t="inlineStr">
        <is>
          <t>T4</t>
        </is>
      </c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inlineStr">
        <is>
          <t>authored-ok</t>
        </is>
      </c>
      <c r="AC188" s="5" t="n"/>
      <c r="AD188" s="5" t="n"/>
      <c r="AE188" s="5" t="n"/>
      <c r="AF188" s="5" t="n"/>
      <c r="AG188" s="5" t="inlineStr">
        <is>
          <t>Dossier: reconstruction/dossiers/us-btty-randol.md; self-surfaced by pass-12's McIntosh tablet quote; closed pass 13</t>
        </is>
      </c>
      <c r="AH188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8" s="5" t="inlineStr">
        <is>
          <t>Tablet: 84 men (report-adjacent, not a B&amp;M hop)</t>
        </is>
      </c>
      <c r="AJ188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8" s="5" t="inlineStr">
        <is>
          <t>Not authored — no trigger/timing for either section located</t>
        </is>
      </c>
      <c r="AL188" s="5" t="inlineStr">
        <is>
          <t>Chester's section co-named in McIntosh's tablet as CA-ECF-2 co-executor (~14:00); Kinney's section 'remained near Hanover Road', no engagement claimed</t>
        </is>
      </c>
      <c r="AM188" s="5" t="inlineStr">
        <is>
          <t>Tablet: 'suffered no casualties' — explicit zero, both sections combined</t>
        </is>
      </c>
      <c r="AN188" s="5" t="n"/>
      <c r="AO188" s="5" t="inlineStr">
        <is>
          <t>T3 (ECF grain, split-section)</t>
        </is>
      </c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reconstruction/dossiers/us-btty-turnbull.md; TRIAGE CORRECTION - lost guns in combat, strongest contradiction of static-park</t>
        </is>
      </c>
      <c r="AH189" s="5" t="inlineStr">
        <is>
          <t>Lt. John C. Turnbull, Batteries F&amp;K 3US; 6x12pdr</t>
        </is>
      </c>
      <c r="AI189" s="5" t="inlineStr">
        <is>
          <t>145 men</t>
        </is>
      </c>
      <c r="AJ189" s="5" t="inlineStr">
        <is>
          <t>[D Jul1] crest near Meade's HQ; [D Jul2] log house/Emmitsburg Rd w/Humphreys; [D Jul3] Taneytown Rd/Cemetery Hill</t>
        </is>
      </c>
      <c r="AK189" s="5" t="inlineStr">
        <is>
          <t>[D] 3-position chain Jul1-3</t>
        </is>
      </c>
      <c r="AL189" s="5" t="inlineStr">
        <is>
          <t>engaged Jul2, COMPELLED TO RETIRE, lost 4 guns+45 horses (recaptured)</t>
        </is>
      </c>
      <c r="AM189" s="5" t="inlineStr">
        <is>
          <t>1off+8k/14w/1m = 24</t>
        </is>
      </c>
      <c r="AN189" s="5" t="n"/>
      <c r="AO189" s="5" t="inlineStr">
        <is>
          <t>T3</t>
        </is>
      </c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inlineStr">
        <is>
          <t>authored-ok (attested-absent)</t>
        </is>
      </c>
      <c r="AC191" s="5" t="n"/>
      <c r="AD191" s="5" t="n"/>
      <c r="AE191" s="5" t="n"/>
      <c r="AF191" s="5" t="n"/>
      <c r="AG191" s="5" t="inlineStr">
        <is>
          <t>Dossier: reconstruction/dossiers/us-btty-brooker.md; TRIAGE CONFIRMED (the exception to this pass's corrections)</t>
        </is>
      </c>
      <c r="AH191" s="5" t="inlineStr">
        <is>
          <t>Capt. Albert F. Brooker, Battery B 1CT Heavy; 4x4.5in siege rifle</t>
        </is>
      </c>
      <c r="AI191" s="5" t="inlineStr">
        <is>
          <t>n/a</t>
        </is>
      </c>
      <c r="AJ191" s="5" t="inlineStr">
        <is>
          <t>CONFIRMED never at Gettysburg - held at Westminster MD (siege ordnance unsuited to rapid movement)</t>
        </is>
      </c>
      <c r="AK191" s="5" t="inlineStr">
        <is>
          <t>n/a</t>
        </is>
      </c>
      <c r="AL191" s="5" t="inlineStr">
        <is>
          <t>held at Westminster throughout</t>
        </is>
      </c>
      <c r="AM191" s="5" t="inlineStr">
        <is>
          <t>n/a</t>
        </is>
      </c>
      <c r="AN191" s="5" t="n"/>
      <c r="AO191" s="5" t="inlineStr">
        <is>
          <t>T2</t>
        </is>
      </c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inlineStr">
        <is>
          <t>authored-ok (the Wheatfield battery)</t>
        </is>
      </c>
      <c r="AC196" s="5" t="n"/>
      <c r="AD196" s="5" t="n"/>
      <c r="AE196" s="5" t="n"/>
      <c r="AF196" s="5" t="n"/>
      <c r="AG196" s="5" t="inlineStr">
        <is>
          <t>Dossier: reconstruction/dossiers/us-btty-winslow.md; ED-57's first post-adoption executor test (absorbed cleanly)</t>
        </is>
      </c>
      <c r="AH196" s="5" t="inlineStr">
        <is>
          <t>Battery D 1st NY Light (III Corps/Randolph); Winslow</t>
        </is>
      </c>
      <c r="AI196" s="5" t="inlineStr">
        <is>
          <t>six Napoleons (register basis; count unstated in report - hop noted); personnel OPEN</t>
        </is>
      </c>
      <c r="AJ196" s="5" t="inlineStr">
        <is>
          <t>[E] the Wheatfield interior (mon-winslow (3773.7,3145.0)); the 400-yards-to-treeline stated range; [D] withdrawn to the previous evening's ground</t>
        </is>
      </c>
      <c r="AK196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6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6" s="5" t="inlineStr">
        <is>
          <t>report 1/16/3=20 vs return 10w+8m=18 - BOTH-COMPONENT conflict carried (report enumeration reads stronger, flagged for the table); one episode</t>
        </is>
      </c>
      <c r="AN196" s="5" t="n"/>
      <c r="AO196" s="5" t="inlineStr">
        <is>
          <t>T4</t>
        </is>
      </c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inlineStr">
        <is>
          <t>authored-ok (ED-61 object 2; brigade-carried record)</t>
        </is>
      </c>
      <c r="AC202" s="5" t="n"/>
      <c r="AD202" s="5" t="n"/>
      <c r="AE202" s="5" t="n"/>
      <c r="AF202" s="5" t="n"/>
      <c r="AG202" s="5" t="inlineStr">
        <is>
          <t>Dossier: reconstruction/dossiers/us-btty-watson.md; no battery report (verified negative - Watson w, MacConnell quoted inside Martin's)</t>
        </is>
      </c>
      <c r="AH202" s="5" t="inlineStr">
        <is>
          <t>Battery I 5th US (V Corps/Martin); WATSON w at the opening -&gt; MacConnell; Peeples the recapture leader (to D/5th July 3)</t>
        </is>
      </c>
      <c r="AI202" s="5" t="inlineStr">
        <is>
          <t>FOUR guns (McGilvery's 'numbering eight' count fix); personnel OPEN</t>
        </is>
      </c>
      <c r="AJ202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2" s="5" t="inlineStr">
        <is>
          <t>[D untraced] the unauthorized taking (the undocumentedness IS Martin's grievance); NO withdrawal leg (abandoned standing); the ~20:00 haul-off by the 6th ME + Seeley's detail</t>
        </is>
      </c>
      <c r="AL202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2" s="5" t="inlineStr">
        <is>
          <t>return 22 = Martin's '1 officer and 21 men' EXACT; 41 horses; one-episode apportionment trivially primary</t>
        </is>
      </c>
      <c r="AN202" s="5" t="n"/>
      <c r="AO202" s="5" t="inlineStr">
        <is>
          <t>T3 (brigade-carried record)</t>
        </is>
      </c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inlineStr">
        <is>
          <t>authored-ok (attested-absent)</t>
        </is>
      </c>
      <c r="AC205" s="5" t="n"/>
      <c r="AD205" s="5" t="n"/>
      <c r="AE205" s="5" t="n"/>
      <c r="AF205" s="5" t="n"/>
      <c r="AG205" s="5" t="inlineStr">
        <is>
          <t>Dossier: reconstruction/dossiers/us-btty-pratt.md; TRIAGE CONFIRMED; brigade's 8-casualty total therefore belongs entirely to Sterling's+Taft's batteries</t>
        </is>
      </c>
      <c r="AH205" s="5" t="inlineStr">
        <is>
          <t>Capt. Franklin A. Pratt, Battery M 1CT Heavy; 4x4.5in siege rifle</t>
        </is>
      </c>
      <c r="AI205" s="5" t="inlineStr">
        <is>
          <t>n/a</t>
        </is>
      </c>
      <c r="AJ205" s="5" t="inlineStr">
        <is>
          <t>CONFIRMED never engaged - Westminster MD w/ Brooker's battery</t>
        </is>
      </c>
      <c r="AK205" s="5" t="inlineStr">
        <is>
          <t>n/a</t>
        </is>
      </c>
      <c r="AL205" s="5" t="inlineStr">
        <is>
          <t>held at Westminster</t>
        </is>
      </c>
      <c r="AM205" s="5" t="inlineStr">
        <is>
          <t>n/a</t>
        </is>
      </c>
      <c r="AN205" s="5" t="n"/>
      <c r="AO205" s="5" t="inlineStr">
        <is>
          <t>T2</t>
        </is>
      </c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inlineStr">
        <is>
          <t>authored-ok</t>
        </is>
      </c>
      <c r="AC206" s="5" t="n"/>
      <c r="AD206" s="5" t="n"/>
      <c r="AE206" s="5" t="n"/>
      <c r="AF206" s="5" t="n"/>
      <c r="AG206" s="5" t="inlineStr">
        <is>
          <t>Dossier: reconstruction/dossiers/us-btty-pennington.md; self-surfaced by pass-12's McIntosh tablet quote; closed pass 13</t>
        </is>
      </c>
      <c r="AH206" s="5" t="inlineStr">
        <is>
          <t>Lieut. A. C. M. Pennington Jr. throughout; six 3-in rifles (no armament discrepancy); parent Robertson's report defers narrative to Custer's</t>
        </is>
      </c>
      <c r="AI206" s="5" t="inlineStr">
        <is>
          <t>Tablet: 129 men</t>
        </is>
      </c>
      <c r="AJ206" s="5" t="inlineStr">
        <is>
          <t>[C, shared w/ Custer's brigade] Hanover Rd/Low Dutch sector; PASS-13 SHEET-CROP: 'PENNINGTON/CLARK BAT.M' at (10072,5237), south of Custer's block; 'Clark' unidentified</t>
        </is>
      </c>
      <c r="AK206" s="5" t="inlineStr">
        <is>
          <t>Inferred-by-attachment to Custer's brigade only</t>
        </is>
      </c>
      <c r="AL206" s="5" t="inlineStr">
        <is>
          <t>July 2 Hunterstown; July 3 ~14:00 CA-ECF-2, report=tablet agreement ('engaged all day' / 'on the right of the Union Army') — the pass's second report=tablet pair</t>
        </is>
      </c>
      <c r="AM206" s="5" t="inlineStr">
        <is>
          <t>Tablet: wounded 1 officer only (no enlisted figure stated)</t>
        </is>
      </c>
      <c r="AN206" s="5" t="n"/>
      <c r="AO206" s="5" t="inlineStr">
        <is>
          <t>T3 (ECF grain)</t>
        </is>
      </c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inlineStr">
        <is>
          <t>authored-ok</t>
        </is>
      </c>
      <c r="AC208" s="5" t="n"/>
      <c r="AD208" s="5" t="n"/>
      <c r="AE208" s="5" t="n"/>
      <c r="AF208" s="5" t="n"/>
      <c r="AG208" s="5" t="inlineStr">
        <is>
          <t>Dossier: reconstruction/dossiers/us-btty-ames.md; TRIAGE CORRECTION, closes the 13-battery sweep</t>
        </is>
      </c>
      <c r="AH208" s="5" t="inlineStr">
        <is>
          <t>Capt. Nelson Ames, Battery G 1NY; 6x12pdr Nap</t>
        </is>
      </c>
      <c r="AI208" s="5" t="inlineStr">
        <is>
          <t>132 men</t>
        </is>
      </c>
      <c r="AJ208" s="5" t="inlineStr">
        <is>
          <t>[A 15:00-17:30 Jul2] Peach Orchard w/ III Corps; [D Jul3] Cemetery Ridge w/ II Corps 1st Div</t>
        </is>
      </c>
      <c r="AK208" s="5" t="inlineStr">
        <is>
          <t>[A] into Peach Orchard line; [D] relocate to II Corps ground</t>
        </is>
      </c>
      <c r="AL208" s="5" t="inlineStr">
        <is>
          <t>3-5:30pm Peach Orchard fight (precisely timed)</t>
        </is>
      </c>
      <c r="AM208" s="5" t="inlineStr">
        <is>
          <t>7w</t>
        </is>
      </c>
      <c r="AN208" s="5" t="n"/>
      <c r="AO208" s="5" t="inlineStr">
        <is>
          <t>T3</t>
        </is>
      </c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113</v>
      </c>
      <c r="H215" s="3">
        <f>IF(F215=0,0,1-G215/F215)</f>
        <v/>
      </c>
      <c r="I215" s="2" t="n">
        <v>1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90</v>
      </c>
      <c r="H219" s="3">
        <f>IF(F219=0,0,1-G219/F219)</f>
        <v/>
      </c>
      <c r="I219" s="2" t="n">
        <v>13</v>
      </c>
      <c r="J219" s="2" t="n">
        <v>4</v>
      </c>
      <c r="K219" s="2" t="n">
        <v>3</v>
      </c>
      <c r="L219" s="2" t="n">
        <v>1</v>
      </c>
      <c r="M219" s="2" t="n">
        <v>0</v>
      </c>
      <c r="N219" s="2" t="n">
        <v>4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inlineStr">
        <is>
          <t>authored-ok</t>
        </is>
      </c>
      <c r="AC219" s="5" t="n"/>
      <c r="AD219" s="5" t="n"/>
      <c r="AE219" s="5" t="n"/>
      <c r="AF219" s="5" t="n"/>
      <c r="AG219" s="5" t="inlineStr">
        <is>
          <t>Dossier: reconstruction/dossiers/us-btty-dow.md; TRIAGE CORRECTION</t>
        </is>
      </c>
      <c r="AH219" s="5" t="inlineStr">
        <is>
          <t>Lt. Edwin B. Dow, 6th Maine Battery(F); 4x12pdr Nap</t>
        </is>
      </c>
      <c r="AI219" s="5" t="inlineStr">
        <is>
          <t>103 men</t>
        </is>
      </c>
      <c r="AJ219" s="5" t="inlineStr">
        <is>
          <t>detached under McGilvery (Fitzhugh's own report)</t>
        </is>
      </c>
      <c r="AK219" s="5" t="inlineStr">
        <is>
          <t>not authored beyond detachment</t>
        </is>
      </c>
      <c r="AL219" s="5" t="inlineStr">
        <is>
          <t>Jul3 pre-charge cannonade duel</t>
        </is>
      </c>
      <c r="AM219" s="5" t="inlineStr">
        <is>
          <t>13w (all attributed to the cannonade)</t>
        </is>
      </c>
      <c r="AN219" s="5" t="n"/>
      <c r="AO219" s="5" t="inlineStr">
        <is>
          <t>T3</t>
        </is>
      </c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reconstruction/dossiers/us-btty-edgell.md; matches Taft's-battery triage-mismatch pattern exactly</t>
        </is>
      </c>
      <c r="AH220" s="5" t="inlineStr">
        <is>
          <t>Capt. Frederick M. Edgell, 1st NH Battery; own report</t>
        </is>
      </c>
      <c r="AI220" s="5" t="inlineStr">
        <is>
          <t>open</t>
        </is>
      </c>
      <c r="AJ220" s="5" t="inlineStr">
        <is>
          <t>[C ~14:30 Jul2] Cemetery Hill nr seminary; [D Jul3] relocated to cornfield nr Baltimore turnpike</t>
        </is>
      </c>
      <c r="AK220" s="5" t="inlineStr">
        <is>
          <t>[C] into position; [D] relocation</t>
        </is>
      </c>
      <c r="AL220" s="5" t="inlineStr">
        <is>
          <t>counter-battery fire; 105rds sub-total/353 total (2 scopes, not conflict)</t>
        </is>
      </c>
      <c r="AM220" s="5" t="inlineStr">
        <is>
          <t>3w(1 serious)/3horses k</t>
        </is>
      </c>
      <c r="AN220" s="5" t="n"/>
      <c r="AO220" s="5" t="inlineStr">
        <is>
          <t>T4</t>
        </is>
      </c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reconstruction/dossiers/us-btty-elder.md; 3rd independent Union SCF corroboration (ED-72)</t>
        </is>
      </c>
      <c r="AH221" s="5" t="inlineStr">
        <is>
          <t>Lt. Samuel S. Elder, Battery E 4US; 4x3in rifle (sub-6-gun)</t>
        </is>
      </c>
      <c r="AI221" s="5" t="inlineStr">
        <is>
          <t>open</t>
        </is>
      </c>
      <c r="AJ221" s="5" t="inlineStr">
        <is>
          <t>[C Jun29] detached to 3rd Cav Div; [D Jul3] Bushman Hill SW of Round Top; sheet-crop confirmed beside Farnsworth's Bde</t>
        </is>
      </c>
      <c r="AK221" s="5" t="inlineStr">
        <is>
          <t>[C Jun29] detachment; [D Jul3] into position</t>
        </is>
      </c>
      <c r="AL221" s="5" t="inlineStr">
        <is>
          <t>South Cavalry Field ~17:30, CA-SCF-2</t>
        </is>
      </c>
      <c r="AM221" s="5" t="inlineStr">
        <is>
          <t>open</t>
        </is>
      </c>
      <c r="AN221" s="5" t="n"/>
      <c r="AO221" s="5" t="inlineStr">
        <is>
          <t>T3</t>
        </is>
      </c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142</v>
      </c>
      <c r="H222" s="3">
        <f>IF(F222=0,0,1-G222/F222)</f>
        <v/>
      </c>
      <c r="I222" s="2" t="n">
        <v>7</v>
      </c>
      <c r="J222" s="2" t="n">
        <v>5</v>
      </c>
      <c r="K222" s="2" t="n">
        <v>1</v>
      </c>
      <c r="L222" s="2" t="n">
        <v>4</v>
      </c>
      <c r="M222" s="2" t="n">
        <v>0</v>
      </c>
      <c r="N222" s="2" t="n">
        <v>5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2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reconstruction/dossiers/us-btty-graham.md</t>
        </is>
      </c>
      <c r="AH223" s="5" t="inlineStr">
        <is>
          <t>Capt. (bvt LtCol) William M. Graham, Battery K 1US; 6x3in rifle</t>
        </is>
      </c>
      <c r="AI223" s="5" t="inlineStr">
        <is>
          <t>114 men (search-summary)</t>
        </is>
      </c>
      <c r="AJ223" s="5" t="inlineStr">
        <is>
          <t>South Cavalry Field Jul3, left w/ cavalry, engaged Farnsworth's/Merritt's attacks</t>
        </is>
      </c>
      <c r="AK223" s="5" t="inlineStr">
        <is>
          <t>not authored</t>
        </is>
      </c>
      <c r="AL223" s="5" t="inlineStr">
        <is>
          <t>SCF action alongside Farnsworth's/Merritt's brigades</t>
        </is>
      </c>
      <c r="AM223" s="5" t="inlineStr">
        <is>
          <t>open</t>
        </is>
      </c>
      <c r="AN223" s="5" t="n"/>
      <c r="AO223" s="5" t="inlineStr">
        <is>
          <t>T2</t>
        </is>
      </c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4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122</v>
      </c>
      <c r="H226" s="3">
        <f>IF(F226=0,0,1-G226/F226)</f>
        <v/>
      </c>
      <c r="I226" s="2" t="n">
        <v>1</v>
      </c>
      <c r="J226" s="2" t="n">
        <v>2</v>
      </c>
      <c r="K226" s="2" t="n">
        <v>1</v>
      </c>
      <c r="L226" s="2" t="n">
        <v>1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T0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inlineStr">
        <is>
          <t>authored-ok</t>
        </is>
      </c>
      <c r="AC226" s="5" t="n"/>
      <c r="AD226" s="5" t="n"/>
      <c r="AE226" s="5" t="n"/>
      <c r="AF226" s="5" t="n"/>
      <c r="AG226" s="5" t="inlineStr">
        <is>
          <t>Dossier: reconstruction/dossiers/us-btty-hill.md; TRIAGE CORRECTION, per-day casualty date split</t>
        </is>
      </c>
      <c r="AH226" s="5" t="inlineStr">
        <is>
          <t>Capt. Wallace Hill, Battery C 1WV; 4x10pdr Parrott (sub-6-gun)</t>
        </is>
      </c>
      <c r="AI226" s="5" t="inlineStr">
        <is>
          <t>124 men</t>
        </is>
      </c>
      <c r="AJ226" s="5" t="inlineStr">
        <is>
          <t>Cemetery Hill, right on cemetery/left near stonewall by road</t>
        </is>
      </c>
      <c r="AK226" s="5" t="inlineStr">
        <is>
          <t>not authored - single position only</t>
        </is>
      </c>
      <c r="AL226" s="5" t="inlineStr">
        <is>
          <t>fought Jul2-3</t>
        </is>
      </c>
      <c r="AM226" s="5" t="inlineStr">
        <is>
          <t>2k(named+dated: Braddock Jul2, Lacy Jul3)/2w</t>
        </is>
      </c>
      <c r="AN226" s="5" t="n"/>
      <c r="AO226" s="5" t="inlineStr">
        <is>
          <t>T3</t>
        </is>
      </c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inlineStr">
        <is>
          <t>authored-ok</t>
        </is>
      </c>
      <c r="AC229" s="5" t="n"/>
      <c r="AD229" s="5" t="n"/>
      <c r="AE229" s="5" t="n"/>
      <c r="AF229" s="5" t="n"/>
      <c r="AG229" s="5" t="inlineStr">
        <is>
          <t>Dossier: reconstruction/dossiers/us-btty-eakin.md; corrects static-park triage</t>
        </is>
      </c>
      <c r="AH229" s="5" t="inlineStr">
        <is>
          <t>Lt. Chandler P. Eakin (w Jul2), Lt. Philip D. Mason succ.; Battery H 1US; 6x12pdr</t>
        </is>
      </c>
      <c r="AI229" s="5" t="inlineStr">
        <is>
          <t>153 men</t>
        </is>
      </c>
      <c r="AJ229" s="5" t="inlineStr">
        <is>
          <t>Cemetery Hill facing Emmitsburg Rd</t>
        </is>
      </c>
      <c r="AK229" s="5" t="inlineStr">
        <is>
          <t>not authored - no leg located</t>
        </is>
      </c>
      <c r="AL229" s="5" t="inlineStr">
        <is>
          <t>engaged Jul2-3 (TRIAGE CORRECTION: was static-park, actually 2-day fight)</t>
        </is>
      </c>
      <c r="AM229" s="5" t="inlineStr">
        <is>
          <t>1k/1off+7w/1m = 10 total</t>
        </is>
      </c>
      <c r="AN229" s="5" t="n"/>
      <c r="AO229" s="5" t="inlineStr">
        <is>
          <t>T2</t>
        </is>
      </c>
    </row>
    <row r="230">
      <c r="A230" s="2" t="inlineStr">
        <is>
          <t>us-btty-mccartney</t>
        </is>
      </c>
      <c r="B230" s="2" t="inlineStr">
        <is>
          <t>McCartney's 1st Massachusetts Battery A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145</v>
      </c>
      <c r="G230" s="2" t="n">
        <v>145</v>
      </c>
      <c r="H230" s="3">
        <f>IF(F230=0,0,1-G230/F230)</f>
        <v/>
      </c>
      <c r="I230" s="2" t="n">
        <v>0</v>
      </c>
      <c r="J230" s="2" t="n">
        <v>4</v>
      </c>
      <c r="K230" s="2" t="n">
        <v>0</v>
      </c>
      <c r="L230" s="2" t="n">
        <v>4</v>
      </c>
      <c r="M230" s="2" t="n">
        <v>0</v>
      </c>
      <c r="N230" s="2" t="n">
        <v>4</v>
      </c>
      <c r="O230" s="2" t="n">
        <v>2494.5</v>
      </c>
      <c r="P230" s="2" t="n">
        <v>2494.5</v>
      </c>
      <c r="Q230" s="2" t="inlineStr">
        <is>
          <t>yes</t>
        </is>
      </c>
      <c r="R230" s="2" t="inlineStr">
        <is>
          <t>column/line</t>
        </is>
      </c>
      <c r="S230" s="2" t="n">
        <v>1</v>
      </c>
      <c r="T230" s="2" t="n">
        <v>0</v>
      </c>
      <c r="U230" s="2" t="n">
        <v>0</v>
      </c>
      <c r="V230" s="2" t="inlineStr">
        <is>
          <t>McCartney</t>
        </is>
      </c>
      <c r="W230" s="4" t="inlineStr">
        <is>
          <t>VERIFY</t>
        </is>
      </c>
      <c r="X230" s="2" t="inlineStr">
        <is>
          <t>T0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reg-us-vi-b1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reconstruction/dossiers/us-btty-mccartney.md</t>
        </is>
      </c>
      <c r="AH230" s="5" t="inlineStr">
        <is>
          <t>Capt. William H. McCartney, 1MA Battery A; own report No.238; 6x12pdr Nap</t>
        </is>
      </c>
      <c r="AI230" s="5" t="inlineStr">
        <is>
          <t>145 men</t>
        </is>
      </c>
      <c r="AJ230" s="5" t="inlineStr">
        <is>
          <t>[C ~16:00 Jul3] left of cemetery, arrived AFTER repulse</t>
        </is>
      </c>
      <c r="AK230" s="5" t="inlineStr">
        <is>
          <t>[C ~16:00] approach-&gt;position post-repulse</t>
        </is>
      </c>
      <c r="AL230" s="5" t="inlineStr">
        <is>
          <t>4 rounds solid shot only; salvaged 48 CSA rounds</t>
        </is>
      </c>
      <c r="AM230" s="5" t="inlineStr">
        <is>
          <t>0</t>
        </is>
      </c>
      <c r="AN230" s="5" t="n"/>
      <c r="AO230" s="5" t="inlineStr">
        <is>
          <t>T3</t>
        </is>
      </c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reconstruction/dossiers/us-btty-norton-1oh.md; TRIAGE CORRECTION</t>
        </is>
      </c>
      <c r="AH231" s="5" t="inlineStr">
        <is>
          <t>Lt. George W. Norton, Battery H 1OH ('Huntington's Ohio Battery'); 6x3in Ord Rifle; DISTINCT from the LRT-witness Norton on us-btty-rittenhouse.md</t>
        </is>
      </c>
      <c r="AI231" s="5" t="inlineStr">
        <is>
          <t>123 men</t>
        </is>
      </c>
      <c r="AJ231" s="5" t="inlineStr">
        <is>
          <t>Cemetery Hill, relieved a 'badly shot up' battery in place, held through the close</t>
        </is>
      </c>
      <c r="AK231" s="5" t="inlineStr">
        <is>
          <t>[D] arrival-&gt;relief-in-place</t>
        </is>
      </c>
      <c r="AL231" s="5" t="inlineStr">
        <is>
          <t>relief-in-place + sustained defense</t>
        </is>
      </c>
      <c r="AM231" s="5" t="inlineStr">
        <is>
          <t>2k(named: Schram,Kirsh)/1mw(named: Edmunds)/4w</t>
        </is>
      </c>
      <c r="AN231" s="5" t="n"/>
      <c r="AO231" s="5" t="inlineStr">
        <is>
          <t>T3</t>
        </is>
      </c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inlineStr">
        <is>
          <t>authored-ok</t>
        </is>
      </c>
      <c r="AC235" s="5" t="n"/>
      <c r="AD235" s="5" t="n"/>
      <c r="AE235" s="5" t="n"/>
      <c r="AF235" s="5" t="n"/>
      <c r="AG235" s="5" t="inlineStr">
        <is>
          <t>Dossier: reconstruction/dossiers/us-btty-rigby.md; TRIAGE CORRECTION</t>
        </is>
      </c>
      <c r="AH235" s="5" t="inlineStr">
        <is>
          <t>Capt. James H. Rigby, Battery A 1MD; 6x ord rifle; distinct from CSA '1st Maryland Battery' (Dement) - collision resolved</t>
        </is>
      </c>
      <c r="AI235" s="5" t="inlineStr">
        <is>
          <t>4off+102men</t>
        </is>
      </c>
      <c r="AJ235" s="5" t="inlineStr">
        <is>
          <t>Powers Hill per Tyler's own order (XII Corps ground)</t>
        </is>
      </c>
      <c r="AK235" s="5" t="inlineStr">
        <is>
          <t>not authored beyond assignment</t>
        </is>
      </c>
      <c r="AL235" s="5" t="inlineStr">
        <is>
          <t>Culp's Hill infantry + Benner's Hill CSA arty duel; 211 rds fired</t>
        </is>
      </c>
      <c r="AM235" s="5" t="inlineStr">
        <is>
          <t>0 (engaged but zero-loss)</t>
        </is>
      </c>
      <c r="AN235" s="5" t="n"/>
      <c r="AO235" s="5" t="inlineStr">
        <is>
          <t>T3</t>
        </is>
      </c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2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inlineStr">
        <is>
          <t>authored-ok</t>
        </is>
      </c>
      <c r="AC239" s="5" t="n"/>
      <c r="AD239" s="5" t="n"/>
      <c r="AE239" s="5" t="n"/>
      <c r="AF239" s="5" t="n"/>
      <c r="AG239" s="5" t="inlineStr">
        <is>
          <t>Dossier: reconstruction/dossiers/us-btty-sterling.md; TRIAGE CORRECTION</t>
        </is>
      </c>
      <c r="AH239" s="5" t="inlineStr">
        <is>
          <t>Capt. John William Sterling, 2CT Light Battery; UNIQUE ordnance - 4x14pdr James Rifle+2x12pdr howitzer, only such battery at Gettysburg</t>
        </is>
      </c>
      <c r="AI239" s="5" t="inlineStr">
        <is>
          <t>106 men</t>
        </is>
      </c>
      <c r="AJ239" s="5" t="inlineStr">
        <is>
          <t>[D Jul2] reinforced III Corps line, retired into McGilvery's composite line left of II Corps</t>
        </is>
      </c>
      <c r="AK239" s="5" t="inlineStr">
        <is>
          <t>[D] reinforce-&gt;retire to McGilvery line</t>
        </is>
      </c>
      <c r="AL239" s="5" t="inlineStr">
        <is>
          <t>McGilvery-line reinforcement</t>
        </is>
      </c>
      <c r="AM239" s="5" t="inlineStr">
        <is>
          <t>3w/2m = 5</t>
        </is>
      </c>
      <c r="AN239" s="5" t="n"/>
      <c r="AO239" s="5" t="inlineStr">
        <is>
          <t>T3</t>
        </is>
      </c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144</v>
      </c>
      <c r="G242" s="2" t="n">
        <v>143</v>
      </c>
      <c r="H242" s="3">
        <f>IF(F242=0,0,1-G242/F242)</f>
        <v/>
      </c>
      <c r="I242" s="2" t="n">
        <v>1</v>
      </c>
      <c r="J242" s="2" t="n">
        <v>4</v>
      </c>
      <c r="K242" s="2" t="n">
        <v>3</v>
      </c>
      <c r="L242" s="2" t="n">
        <v>1</v>
      </c>
      <c r="M242" s="2" t="n">
        <v>0</v>
      </c>
      <c r="N242" s="2" t="n">
        <v>4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inlineStr">
        <is>
          <t>authored-ok</t>
        </is>
      </c>
      <c r="AC242" s="5" t="n"/>
      <c r="AD242" s="5" t="n"/>
      <c r="AE242" s="5" t="n"/>
      <c r="AF242" s="5" t="n"/>
      <c r="AG242" s="5" t="inlineStr">
        <is>
          <t>Dossier: reconstruction/dossiers/us-btty-taft.md; THE PASS'S LARGEST TRIAGE/RESEARCH MISMATCH - own commander's report was already the parent brigade dossier's primary source</t>
        </is>
      </c>
      <c r="AH242" s="5" t="inlineStr">
        <is>
          <t>Capt. Elijah D. Taft (also 2VBde cmdr), 5th NY Battery; own report No.325</t>
        </is>
      </c>
      <c r="AI242" s="5" t="inlineStr">
        <is>
          <t>open</t>
        </is>
      </c>
      <c r="AJ242" s="5" t="inlineStr">
        <is>
          <t>[C] Taneytown-&gt;10:30am arrival-&gt;4pm cemetery-&gt;5pm position, reporting direct to Howard (XI Corps)</t>
        </is>
      </c>
      <c r="AK242" s="5" t="inlineStr">
        <is>
          <t>[B] staged approach; [D] return march Jul5</t>
        </is>
      </c>
      <c r="AL242" s="5" t="inlineStr">
        <is>
          <t>counter-battery+infantry fire Jul2; sustained fire Jul3, 20pdr Parrott muzzle burst; itemized rds (80/63/32/382/557)</t>
        </is>
      </c>
      <c r="AM242" s="5" t="inlineStr">
        <is>
          <t>4 individually-timed pins (Begg mw died Jul7, Thalheimer mw died midnight Jul3, Dillon slight, Wittenberg severe); brigade tablet total 8 in tension w/ 4 named</t>
        </is>
      </c>
      <c r="AN242" s="5" t="n"/>
      <c r="AO242" s="5" t="inlineStr">
        <is>
          <t>T4</t>
        </is>
      </c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reconstruction/dossiers/us-btty-evanthomas.md; TRIAGE CORRECTION, richest of the 3 1st-Regular corrections</t>
        </is>
      </c>
      <c r="AH243" s="5" t="inlineStr">
        <is>
          <t>Lt. (bvt Maj) Evan Thomas, Battery C 4US; 6x12pdr; son of Adj-Gen Lorenzo Thomas; k 1873 vs Modoc</t>
        </is>
      </c>
      <c r="AI243" s="5" t="inlineStr">
        <is>
          <t>open</t>
        </is>
      </c>
      <c r="AJ243" s="5" t="inlineStr">
        <is>
          <t>[D Jul2] Leister House crest near Meade's HQ; [D Jul3am] unchanged, engaged CSA arty across Seminary Ridge; slight shift pre-charge; post-bombardment-&gt;Arty Reserve</t>
        </is>
      </c>
      <c r="AK243" s="5" t="inlineStr">
        <is>
          <t>[D] 3-leg chain Jul2-3</t>
        </is>
      </c>
      <c r="AL243" s="5" t="inlineStr">
        <is>
          <t>'actively engaged' Jul2; Jul3 direct-hit caisson explosion, 3 more blew, drew CSA cheer; 14VT collateral casualties nearby</t>
        </is>
      </c>
      <c r="AM243" s="5" t="inlineStr">
        <is>
          <t>1k/1off+16w = 18, +2 named later deaths (Campbell, McNeal)</t>
        </is>
      </c>
      <c r="AN243" s="5" t="n"/>
      <c r="AO243" s="5" t="inlineStr">
        <is>
          <t>T4</t>
        </is>
      </c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5</v>
      </c>
      <c r="K246" s="2" t="n">
        <v>2</v>
      </c>
      <c r="L246" s="2" t="n">
        <v>3</v>
      </c>
      <c r="M246" s="2" t="n">
        <v>0</v>
      </c>
      <c r="N246" s="2" t="n">
        <v>5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inlineStr">
        <is>
          <t>authored-ok (command/frame grain)</t>
        </is>
      </c>
      <c r="AC284" s="5" t="n"/>
      <c r="AD284" s="5" t="n"/>
      <c r="AE284" s="5" t="n"/>
      <c r="AF284" s="5" t="n"/>
      <c r="AG284" s="5" t="inlineStr">
        <is>
          <t>Dossier: reconstruction/dossiers/us-vi-1-2-bartlett.md; resolves Nevin's 'triple command succession' hazard</t>
        </is>
      </c>
      <c r="AH284" s="5" t="inlineStr">
        <is>
          <t>2nd Bde 1st Div VI Corps (5ME/121NY/95,96PA); Brig Gen J.J. Bartlett; report=tablet; GENUINELY ENGAGED</t>
        </is>
      </c>
      <c r="AI284" s="5" t="inlineStr">
        <is>
          <t>open</t>
        </is>
      </c>
      <c r="AJ28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4" s="5" t="inlineStr">
        <is>
          <t>[C ~17:00-18:00] the composite-command advance</t>
        </is>
      </c>
      <c r="AL284" s="5" t="inlineStr">
        <is>
          <t>[C] Jul3 ~200 CSA prisoners + 15th GA colors captured jointly w/ McCandless</t>
        </is>
      </c>
      <c r="AM284" s="5" t="inlineStr">
        <is>
          <t>own-bde tablet 5 (1k/4w); composite-command loss separately stated 'between 20 and 30'</t>
        </is>
      </c>
      <c r="AN284" s="5" t="n"/>
      <c r="AO284" s="5" t="inlineStr">
        <is>
          <t>T4</t>
        </is>
      </c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inlineStr">
        <is>
          <t>authored-ok (command/frame grain)</t>
        </is>
      </c>
      <c r="AC301" s="5" t="n"/>
      <c r="AD301" s="5" t="n"/>
      <c r="AE301" s="5" t="n"/>
      <c r="AF301" s="5" t="n"/>
      <c r="AG301" s="5" t="inlineStr">
        <is>
          <t>Dossier: reconstruction/dossiers/us-vi-3-2-eustis.md; the corpus's 4th confirmed no-report-class Union brigade</t>
        </is>
      </c>
      <c r="AH301" s="5" t="inlineStr">
        <is>
          <t>2nd Bde 3rd Div VI Corps (7,10,37MA/2RI); Col Henry L. Eustis; NO brigade report - confirmed, only Rogers's 2nd RI regimental report fills the numbered slot</t>
        </is>
      </c>
      <c r="AI301" s="5" t="inlineStr">
        <is>
          <t>open</t>
        </is>
      </c>
      <c r="AJ301" s="5" t="inlineStr">
        <is>
          <t>[C ~14:00] arrival; [C] Jul3 right-centre reserve reporting to Newton, 'not engaged but subject to artillery fire'</t>
        </is>
      </c>
      <c r="AK301" s="5" t="inlineStr">
        <is>
          <t>not authored</t>
        </is>
      </c>
      <c r="AL301" s="5" t="inlineStr">
        <is>
          <t>[D] present-but-not-firing; Rogers's 2RI: 'the hottest of the battle'/'severest engagement of the war' (tension w/ 'not engaged')</t>
        </is>
      </c>
      <c r="AM301" s="5" t="inlineStr">
        <is>
          <t>tablet 69 (3k/2off+39w/25 missing) - the missing-25 figure has NO attested cause, honestly flagged</t>
        </is>
      </c>
      <c r="AN301" s="5" t="n"/>
      <c r="AO301" s="5" t="inlineStr">
        <is>
          <t>T3</t>
        </is>
      </c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inlineStr">
        <is>
          <t>authored-ok</t>
        </is>
      </c>
      <c r="AC302" s="5" t="n"/>
      <c r="AD302" s="5" t="n"/>
      <c r="AE302" s="5" t="n"/>
      <c r="AF302" s="5" t="n"/>
      <c r="AG302" s="5" t="inlineStr">
        <is>
          <t>Dossier: reconstruction/dossiers/us-v-3-2-fisher.md; independent-discovery claim flagged not adjudicated vs Rice/Chamberlain (403-blocked source)</t>
        </is>
      </c>
      <c r="AH302" s="5" t="inlineStr">
        <is>
          <t>Col. Joseph W. Fisher, 5th/9th/10th/11th/12th PA Reserves; own report No.213-class</t>
        </is>
      </c>
      <c r="AI302" s="5" t="inlineStr">
        <is>
          <t>open</t>
        </is>
      </c>
      <c r="AJ302" s="5" t="inlineStr">
        <is>
          <t>[C ~22:00] Big Round Top occupation; stone wall built overnight</t>
        </is>
      </c>
      <c r="AK302" s="5" t="inlineStr">
        <is>
          <t>[D] march to the extreme left July 2; [A ~22:00] ascent of Big Round Top w/ 20th Maine</t>
        </is>
      </c>
      <c r="AL302" s="5" t="inlineStr">
        <is>
          <t>over 30 prisoners; 1000+ stand of arms claimed, 80 CSA dead buried (own report, unverified vs CSA side)</t>
        </is>
      </c>
      <c r="AM302" s="5" t="inlineStr">
        <is>
          <t>55 (1off+5men k/3off+46w) = McCandless 155 + Fisher 55 = Crawford 210 exact</t>
        </is>
      </c>
      <c r="AN302" s="5" t="n"/>
      <c r="AO302" s="5" t="inlineStr">
        <is>
          <t>T4 full-arc</t>
        </is>
      </c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inlineStr">
        <is>
          <t>authored-ok (command/frame grain)</t>
        </is>
      </c>
      <c r="AC305" s="5" t="n"/>
      <c r="AD305" s="5" t="n"/>
      <c r="AE305" s="5" t="n"/>
      <c r="AF305" s="5" t="n"/>
      <c r="AG305" s="5" t="inlineStr">
        <is>
          <t>Dossier: reconstruction/dossiers/us-vi-2-1-grant.md; fetched pages surfaced only a June Franklin's-Crossing letter, not Gettysburg</t>
        </is>
      </c>
      <c r="AH305" s="5" t="inlineStr">
        <is>
          <t>2nd Bde 2nd Div VI Corps, the Vermont Bde (2/3/4/5/6 VT); Col Lewis A. Grant; OR entry's Gettysburg content NOT located</t>
        </is>
      </c>
      <c r="AI305" s="5" t="inlineStr">
        <is>
          <t>open</t>
        </is>
      </c>
      <c r="AJ305" s="5" t="inlineStr">
        <is>
          <t>[C ~17:00] 33mi march arrived 5pm Jul2; [C] Jul3 right on Round-Top-east-slope, left on Taneytown Rd, 'under no fire except artillery'</t>
        </is>
      </c>
      <c r="AK305" s="5" t="inlineStr">
        <is>
          <t>[B] the march; [D] short Jul3 advance</t>
        </is>
      </c>
      <c r="AL305" s="5" t="inlineStr">
        <is>
          <t>[D] present-but-not-firing, ED-44 class; 5th VT on picket Jul2 night</t>
        </is>
      </c>
      <c r="AM305" s="5" t="inlineStr">
        <is>
          <t>tablet 1w</t>
        </is>
      </c>
      <c r="AN305" s="5" t="n"/>
      <c r="AO305" s="5" t="inlineStr">
        <is>
          <t>T3 (tablet-primary; report access gap honestly recorded)</t>
        </is>
      </c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217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5</v>
      </c>
      <c r="K314" s="2" t="n">
        <v>1</v>
      </c>
      <c r="L314" s="2" t="n">
        <v>4</v>
      </c>
      <c r="M314" s="2" t="n">
        <v>0</v>
      </c>
      <c r="N314" s="2" t="n">
        <v>5</v>
      </c>
      <c r="O314" s="2" t="n">
        <v>600.3</v>
      </c>
      <c r="P314" s="2" t="n">
        <v>246</v>
      </c>
      <c r="Q314" s="2" t="inlineStr">
        <is>
          <t>yes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T0</t>
        </is>
      </c>
      <c r="Y314" s="2" t="inlineStr">
        <is>
          <t>T3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inlineStr">
        <is>
          <t>authored-ok (command/frame grain)</t>
        </is>
      </c>
      <c r="AC318" s="5" t="n"/>
      <c r="AD318" s="5" t="n"/>
      <c r="AE318" s="5" t="n"/>
      <c r="AF318" s="5" t="n"/>
      <c r="AG318" s="5" t="inlineStr">
        <is>
          <t>Dossier: reconstruction/dossiers/us-vi-2-2-neill.md; the corps's least-static brigade this pass</t>
        </is>
      </c>
      <c r="AH318" s="5" t="inlineStr">
        <is>
          <t>3rd Bde 2nd Div VI Corps (7ME(6co)/43,49,77NY/61PA); Brig Gen T.H. Neill; report thin on the battle days</t>
        </is>
      </c>
      <c r="AI318" s="5" t="inlineStr">
        <is>
          <t>open</t>
        </is>
      </c>
      <c r="AJ318" s="5" t="inlineStr">
        <is>
          <t>[C] Jul2 arrival then DETACHED ~6pm to hold Powers Hill (Meade's direct order); [C] Jul3 crossed Rock Creek to extreme right, connecting w/ cavalry pickets (Slocum's order)</t>
        </is>
      </c>
      <c r="AK318" s="5" t="inlineStr">
        <is>
          <t>[C] Powers Hill leg; [C] Rock Creek crossing leg</t>
        </is>
      </c>
      <c r="AL318" s="5" t="inlineStr">
        <is>
          <t>[D] ground-security/liaison roles, no documented firing episode</t>
        </is>
      </c>
      <c r="AM318" s="5" t="inlineStr">
        <is>
          <t>tablet 15 (1 off+1 man k/11w/2 missing) - cause not attested</t>
        </is>
      </c>
      <c r="AN318" s="5" t="n"/>
      <c r="AO318" s="5" t="inlineStr">
        <is>
          <t>T3</t>
        </is>
      </c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1345</v>
      </c>
      <c r="H319" s="3">
        <f>IF(F319=0,0,1-G319/F319)</f>
        <v/>
      </c>
      <c r="I319" s="2" t="n">
        <v>25</v>
      </c>
      <c r="J319" s="2" t="n">
        <v>5</v>
      </c>
      <c r="K319" s="2" t="n">
        <v>1</v>
      </c>
      <c r="L319" s="2" t="n">
        <v>4</v>
      </c>
      <c r="M319" s="2" t="n">
        <v>0</v>
      </c>
      <c r="N319" s="2" t="n">
        <v>5</v>
      </c>
      <c r="O319" s="2" t="n">
        <v>326.1</v>
      </c>
      <c r="P319" s="2" t="n">
        <v>325.3</v>
      </c>
      <c r="Q319" s="2" t="inlineStr">
        <is>
          <t>yes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inlineStr">
        <is>
          <t>authored-ok (command/frame grain)</t>
        </is>
      </c>
      <c r="AC321" s="5" t="n"/>
      <c r="AD321" s="5" t="n"/>
      <c r="AE321" s="5" t="n"/>
      <c r="AF321" s="5" t="n"/>
      <c r="AG321" s="5" t="inlineStr">
        <is>
          <t>Dossier: reconstruction/dossiers/us-vi-1-3-russell.md</t>
        </is>
      </c>
      <c r="AH321" s="5" t="inlineStr">
        <is>
          <t>3rd Bde 1st Div VI Corps (6ME/49(4co)/119PA/5WI); Brig Gen D.A. Russell; report=tablet</t>
        </is>
      </c>
      <c r="AI321" s="5" t="inlineStr">
        <is>
          <t>open</t>
        </is>
      </c>
      <c r="AJ321" s="5" t="inlineStr">
        <is>
          <t>[C ~16:00] arrival; [C] Jul3 extreme left then left-centre 'anticipated attack on the center' (report's cause, tablet's terser text)</t>
        </is>
      </c>
      <c r="AK321" s="5" t="inlineStr">
        <is>
          <t>[B] the march; [D] the afternoon shift</t>
        </is>
      </c>
      <c r="AL321" s="5" t="inlineStr">
        <is>
          <t>[D] attested-static both sources: 'Not engaged' / 'not actually engaged'</t>
        </is>
      </c>
      <c r="AM321" s="5" t="inlineStr">
        <is>
          <t>CONFLICT: tablet 2w vs report's 'no casualties' - carried unresolved</t>
        </is>
      </c>
      <c r="AN321" s="5" t="n"/>
      <c r="AO321" s="5" t="inlineStr">
        <is>
          <t>T3</t>
        </is>
      </c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reconstruction/dossiers/us-vi-3-1-shaler.md; CLOSES the corps HQ dossier's own flagged verification item; feeds CA-J3M-2/4</t>
        </is>
      </c>
      <c r="AH322" s="5" t="inlineStr">
        <is>
          <t>1st Bde 3rd Div VI Corps (65,67,122NY/23,82PA); Brig Gen Alexander Shaler; TWO reports (battle narrative + Nov1863 correction letter)</t>
        </is>
      </c>
      <c r="AI322" s="5" t="inlineStr">
        <is>
          <t>open</t>
        </is>
      </c>
      <c r="AJ322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2" s="5" t="inlineStr">
        <is>
          <t>[C] the 8am detachment leg; [C] the 3:30pm withdrawal leg</t>
        </is>
      </c>
      <c r="AL322" s="5" t="inlineStr">
        <is>
          <t>[C] ENGAGED 9-11am under Geary, 'severe fire'/'galling fire of musketry'</t>
        </is>
      </c>
      <c r="AM322" s="5" t="inlineStr">
        <is>
          <t>tablet 74 (1off+14men k/3off+53w/3 missing) - heaviest VI Corps brigade loss this pass</t>
        </is>
      </c>
      <c r="AN322" s="5" t="n"/>
      <c r="AO322" s="5" t="inlineStr">
        <is>
          <t>T4</t>
        </is>
      </c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inlineStr">
        <is>
          <t>authored-ok</t>
        </is>
      </c>
      <c r="AC324" s="5" t="n"/>
      <c r="AD324" s="5" t="n"/>
      <c r="AE324" s="5" t="n"/>
      <c r="AF324" s="5" t="n"/>
      <c r="AG324" s="5" t="inlineStr">
        <is>
          <t>Dossier: reconstruction/dossiers/us-xi-2-2-smith.md; 33MA/Avery-repulse cross-ref flagged not verified</t>
        </is>
      </c>
      <c r="AH324" s="5" t="inlineStr">
        <is>
          <t>Col. Orland Smith, 33MA/136NY/55OH/73OH; own report OR27/1 pp.722-725; identity verified NOT W.Smith CSA</t>
        </is>
      </c>
      <c r="AI324" s="5" t="inlineStr">
        <is>
          <t>open</t>
        </is>
      </c>
      <c r="AJ324" s="5" t="inlineStr">
        <is>
          <t>[C ~14:00 Jul1] Cemetery Hill wall, Emmitsburg/Taneytown Rds; von Steinwehr calls it 'First Bde' internally, Smith's own report says 'Second Bde' matching register</t>
        </is>
      </c>
      <c r="AK324" s="5" t="inlineStr">
        <is>
          <t>[C] Jun12-Jul1 full march itinerary; 38mi/24.5hrs Boonsborough-Emmitsburg</t>
        </is>
      </c>
      <c r="AL324" s="5" t="inlineStr">
        <is>
          <t>continuous skirmish Jul1-3; no direct assault Jul2 night; Jul3 assault redirected to II Corps</t>
        </is>
      </c>
      <c r="AM324" s="5" t="inlineStr">
        <is>
          <t>REPORT-VS-TABLET CONFLICT: tablet 348 (51k/278w/19m) vs report 345 (66k/259w/26m) - every category disagrees, not adjudicated</t>
        </is>
      </c>
      <c r="AN324" s="5" t="n"/>
      <c r="AO324" s="5" t="inlineStr">
        <is>
          <t>T4 full-arc</t>
        </is>
      </c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1309</v>
      </c>
      <c r="H328" s="3">
        <f>IF(F328=0,0,1-G328/F328)</f>
        <v/>
      </c>
      <c r="I328" s="2" t="n">
        <v>11</v>
      </c>
      <c r="J328" s="2" t="n">
        <v>2</v>
      </c>
      <c r="K328" s="2" t="n">
        <v>1</v>
      </c>
      <c r="L328" s="2" t="n">
        <v>1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T0</t>
        </is>
      </c>
      <c r="Y328" s="2" t="inlineStr">
        <is>
          <t>T4</t>
        </is>
      </c>
      <c r="Z328" s="2" t="inlineStr">
        <is>
          <t>in-build</t>
        </is>
      </c>
      <c r="AA328" s="2" t="inlineStr">
        <is>
          <t>reg-us-vi-1-1</t>
        </is>
      </c>
      <c r="AB328" s="5" t="inlineStr">
        <is>
          <t>authored-ok (command/frame grain)</t>
        </is>
      </c>
      <c r="AC328" s="5" t="n"/>
      <c r="AD328" s="5" t="n"/>
      <c r="AE328" s="5" t="n"/>
      <c r="AF328" s="5" t="n"/>
      <c r="AG328" s="5" t="inlineStr">
        <is>
          <t>Dossier: reconstruction/dossiers/us-vi-1-1-torbert.md</t>
        </is>
      </c>
      <c r="AH328" s="5" t="inlineStr">
        <is>
          <t>1st Bde 1st Div VI Corps (1/2/3/15 NJ); Brig Gen A.T.A. Torbert; report=tablet</t>
        </is>
      </c>
      <c r="AI328" s="5" t="inlineStr">
        <is>
          <t>1,663 (106 off/1,557 enl, report-primary itemized)</t>
        </is>
      </c>
      <c r="AJ328" s="5" t="inlineStr">
        <is>
          <t>[C ~16:00] 35mi march, arrived 4pm Jul2; [C] LRT reserve; [C] Jul3 Weikert-House-area center</t>
        </is>
      </c>
      <c r="AK328" s="5" t="inlineStr">
        <is>
          <t>[B] the 35mi march</t>
        </is>
      </c>
      <c r="AL328" s="5" t="inlineStr">
        <is>
          <t>[D] attested-static, picket only; 11 wounded on picket Jul3</t>
        </is>
      </c>
      <c r="AM328" s="5" t="inlineStr">
        <is>
          <t>tablet 11w = report's Jul3 picket figure exact; report's broader 1k/17w is a CAMPAIGN total (scope, not conflict)</t>
        </is>
      </c>
      <c r="AN328" s="5" t="n"/>
      <c r="AO328" s="5" t="inlineStr">
        <is>
          <t>T3</t>
        </is>
      </c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2026-07-13T02:40:57Z</dcterms:created>
  <dcterms:modified xsi:type="dcterms:W3CDTF">2026-07-13T02:40:58Z</dcterms:modified>
</cp:coreProperties>
</file>